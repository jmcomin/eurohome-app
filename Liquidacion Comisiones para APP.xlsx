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ocumentos\"/>
    </mc:Choice>
  </mc:AlternateContent>
  <xr:revisionPtr revIDLastSave="0" documentId="13_ncr:1_{E2885754-AF5E-4413-B7AF-7DFA1F3BA7E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P24" i="1"/>
  <c r="K24" i="1"/>
  <c r="L24" i="1"/>
  <c r="Q24" i="1"/>
  <c r="O6" i="1"/>
  <c r="P6" i="1"/>
  <c r="K6" i="1"/>
  <c r="L6" i="1"/>
  <c r="Q6" i="1"/>
  <c r="O3" i="1"/>
  <c r="P3" i="1"/>
  <c r="K3" i="1"/>
  <c r="L3" i="1"/>
  <c r="Q3" i="1"/>
  <c r="K14" i="1"/>
  <c r="L14" i="1"/>
  <c r="K15" i="1"/>
  <c r="L15" i="1"/>
  <c r="K16" i="1"/>
  <c r="L16" i="1"/>
  <c r="K23" i="1"/>
  <c r="L23" i="1"/>
  <c r="Q15" i="1"/>
  <c r="Q16" i="1"/>
  <c r="Q14" i="1"/>
  <c r="Q23" i="1"/>
  <c r="Q19" i="1"/>
  <c r="P11" i="1"/>
  <c r="P12" i="1"/>
  <c r="P13" i="1"/>
  <c r="P17" i="1"/>
  <c r="P18" i="1"/>
  <c r="L19" i="1"/>
  <c r="P20" i="1"/>
  <c r="P21" i="1"/>
  <c r="P25" i="1"/>
  <c r="P26" i="1"/>
  <c r="Q26" i="1"/>
  <c r="P5" i="1"/>
  <c r="Q5" i="1"/>
  <c r="P7" i="1"/>
  <c r="P8" i="1"/>
  <c r="Q8" i="1"/>
  <c r="O10" i="1"/>
  <c r="P10" i="1"/>
  <c r="O9" i="1"/>
  <c r="P9" i="1"/>
  <c r="O4" i="1"/>
  <c r="P4" i="1"/>
  <c r="Q4" i="1"/>
  <c r="J22" i="1"/>
  <c r="O2" i="1"/>
  <c r="P2" i="1"/>
  <c r="K7" i="1"/>
  <c r="K8" i="1"/>
  <c r="K11" i="1"/>
  <c r="K12" i="1"/>
  <c r="K13" i="1"/>
  <c r="K20" i="1"/>
  <c r="K26" i="1"/>
  <c r="K4" i="1"/>
  <c r="K5" i="1"/>
  <c r="L5" i="1"/>
  <c r="K9" i="1"/>
  <c r="L9" i="1"/>
  <c r="K10" i="1"/>
  <c r="L10" i="1"/>
  <c r="K17" i="1"/>
  <c r="L17" i="1"/>
  <c r="K18" i="1"/>
  <c r="L18" i="1"/>
  <c r="K21" i="1"/>
  <c r="L21" i="1"/>
  <c r="K25" i="1"/>
  <c r="L25" i="1"/>
  <c r="K2" i="1"/>
  <c r="L2" i="1"/>
  <c r="Q17" i="1"/>
  <c r="Q18" i="1"/>
  <c r="Q21" i="1"/>
  <c r="Q25" i="1"/>
  <c r="Q2" i="1"/>
  <c r="Q10" i="1"/>
  <c r="Q9" i="1"/>
  <c r="L7" i="1"/>
  <c r="Q7" i="1"/>
  <c r="L11" i="1"/>
  <c r="Q11" i="1"/>
  <c r="L8" i="1"/>
  <c r="L12" i="1"/>
  <c r="Q12" i="1"/>
  <c r="L13" i="1"/>
  <c r="Q13" i="1"/>
  <c r="L20" i="1"/>
  <c r="Q20" i="1"/>
  <c r="L26" i="1"/>
  <c r="L4" i="1"/>
  <c r="K22" i="1"/>
  <c r="P22" i="1"/>
  <c r="L22" i="1"/>
  <c r="Q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José M Comín</author>
  </authors>
  <commentList>
    <comment ref="E26" authorId="0" shapeId="0" xr:uid="{7597FF88-A6EC-4D39-A017-3F0526C3E67B}">
      <text>
        <r>
          <rPr>
            <b/>
            <sz val="9"/>
            <color indexed="81"/>
            <rFont val="Tahoma"/>
            <family val="2"/>
          </rPr>
          <t>José M Comín:</t>
        </r>
        <r>
          <rPr>
            <sz val="9"/>
            <color indexed="81"/>
            <rFont val="Tahoma"/>
            <family val="2"/>
          </rPr>
          <t xml:space="preserve">
Cambio por el 11B</t>
        </r>
      </text>
    </comment>
  </commentList>
</comments>
</file>

<file path=xl/sharedStrings.xml><?xml version="1.0" encoding="utf-8"?>
<sst xmlns="http://schemas.openxmlformats.org/spreadsheetml/2006/main" count="181" uniqueCount="56">
  <si>
    <t>VICENTE SORIANO BORJA</t>
  </si>
  <si>
    <t>FRANCISCA GOMEZ LOPEZ</t>
  </si>
  <si>
    <t xml:space="preserve">GERARDO MOREIRAS LIZ </t>
  </si>
  <si>
    <t>MARGARITA PLAZA LORENZO</t>
  </si>
  <si>
    <t xml:space="preserve">COFU REAL ESTATE </t>
  </si>
  <si>
    <t>KOSTANTYN OKULOV</t>
  </si>
  <si>
    <t>YURIY GRESHCHUK</t>
  </si>
  <si>
    <t xml:space="preserve">MARINE GRIGORYAN </t>
  </si>
  <si>
    <t>KATARZYNA GIBALA</t>
  </si>
  <si>
    <t xml:space="preserve">IHOR AVRAMENK </t>
  </si>
  <si>
    <t>GARCIA TORRENTE S.L.</t>
  </si>
  <si>
    <t xml:space="preserve">ALEKSANDR LOKSHYN </t>
  </si>
  <si>
    <t>SOFIENE SHILI</t>
  </si>
  <si>
    <t>MARIA DEL MAR MARTINEZ ILLESCAS</t>
  </si>
  <si>
    <t>GASPAR ANTONIO GARCIA</t>
  </si>
  <si>
    <t>si</t>
  </si>
  <si>
    <t>A</t>
  </si>
  <si>
    <t>B</t>
  </si>
  <si>
    <t>Letra</t>
  </si>
  <si>
    <t xml:space="preserve">EL QUE FA VUITANTA </t>
  </si>
  <si>
    <t xml:space="preserve">NOEL YOHANNA ORAHA </t>
  </si>
  <si>
    <t>ARTHUR RAFAELYAN</t>
  </si>
  <si>
    <t>JANN BOUTEAU</t>
  </si>
  <si>
    <t>Pendiente</t>
  </si>
  <si>
    <t>FELIPE Y YULIA</t>
  </si>
  <si>
    <t>Pago 1</t>
  </si>
  <si>
    <t>Precio + IVA</t>
  </si>
  <si>
    <t>Precio</t>
  </si>
  <si>
    <t>Nombre Cliente</t>
  </si>
  <si>
    <t>JAIME BARBUDO ARJONA</t>
  </si>
  <si>
    <t>MIKOLAJ GABRYJANCZYK Y JOANNA GABRYJANCZYK-POLACA</t>
  </si>
  <si>
    <t>LUKASZ SIEROCINSKI Y AGNIESKA SIEROCINSKA-POLACA</t>
  </si>
  <si>
    <t>JOSE CORBILLON CANAL</t>
  </si>
  <si>
    <t>Promoción</t>
  </si>
  <si>
    <t>IVA</t>
  </si>
  <si>
    <t>Pago 2</t>
  </si>
  <si>
    <t>Facturable</t>
  </si>
  <si>
    <t>Facturada</t>
  </si>
  <si>
    <t>NIF / Pasaporte</t>
  </si>
  <si>
    <t>Código</t>
  </si>
  <si>
    <t>Slim Tower</t>
  </si>
  <si>
    <t>% / Precio</t>
  </si>
  <si>
    <t>Comisión 1</t>
  </si>
  <si>
    <t>% / Precio2</t>
  </si>
  <si>
    <t>Comisión 32</t>
  </si>
  <si>
    <t>Facturable2</t>
  </si>
  <si>
    <t>Facturada2</t>
  </si>
  <si>
    <t>Agencia</t>
  </si>
  <si>
    <t>% Comisión Agencia</t>
  </si>
  <si>
    <t>Comisión</t>
  </si>
  <si>
    <t>Facturable3</t>
  </si>
  <si>
    <t>Facturada3</t>
  </si>
  <si>
    <t>Comercial Eurohome</t>
  </si>
  <si>
    <t>% Comisión</t>
  </si>
  <si>
    <t>Planta2</t>
  </si>
  <si>
    <r>
      <t xml:space="preserve">BALLESTER / </t>
    </r>
    <r>
      <rPr>
        <b/>
        <sz val="11"/>
        <color rgb="FFFF0000"/>
        <rFont val="Calibri"/>
        <family val="2"/>
        <scheme val="minor"/>
      </rPr>
      <t>CONTROLAR PRECIO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</si>
</sst>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6" formatCode="_-* #,##0\ _€_-;\-* #,##0\ _€_-;_-* &quot;-&quot;??\ _€_-;_-@_-"/>
    <numFmt numFmtId="169" formatCode="_-* #,##0.00\ &quot;€&quot;_-;\-* #,##0.00\ &quot;€&quot;_-;_-* &quot;-&quot;??\ &quot;€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16">
    <xf numFmtId="0" fontId="0" fillId="0" borderId="0" xfId="0"/>
    <xf numFmtId="166" fontId="2" fillId="0" borderId="0" xfId="1" applyNumberFormat="1" applyFont="1" applyAlignment="1">
      <alignment horizontal="center"/>
    </xf>
    <xf numFmtId="0" fontId="1" fillId="0" borderId="0" xfId="0" applyFont="1"/>
    <xf numFmtId="0" fontId="7" fillId="0" borderId="0" xfId="0" applyFont="1"/>
    <xf numFmtId="166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3" fillId="0" borderId="0" xfId="0" applyFont="1"/>
    <xf numFmtId="1" fontId="2" fillId="0" borderId="0" xfId="0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7">
    <cellStyle name="Millares" xfId="1" builtinId="3"/>
    <cellStyle name="Moneda 2" xfId="2" xr:uid="{C5C741D1-0E79-444B-B649-00934D5272E6}"/>
    <cellStyle name="Moneda 2 2" xfId="5" xr:uid="{0C608341-BE69-46BC-8571-8930FC966BAA}"/>
    <cellStyle name="Moneda 3" xfId="3" xr:uid="{14BACDC9-DA6C-41DD-BD81-0DC3C475A9FF}"/>
    <cellStyle name="Moneda 3 2" xfId="6" xr:uid="{07EF5BE3-1048-46EA-B93D-3E7D3225350E}"/>
    <cellStyle name="Moneda 4" xfId="4" xr:uid="{A43D273A-67A8-49FE-95FE-78BDF24C6196}"/>
    <cellStyle name="Normal" xfId="0" builtinId="0"/>
  </cellStyles>
  <dxfs count="28"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FA4F3-9B6B-40A5-9173-F35EE622ECAA}" name="Tabla1" displayName="Tabla1" ref="A1:Z26" totalsRowShown="0" headerRowDxfId="6" dataDxfId="7">
  <autoFilter ref="A1:Z26" xr:uid="{803FA4F3-9B6B-40A5-9173-F35EE622ECAA}"/>
  <tableColumns count="26">
    <tableColumn id="27" xr3:uid="{544DAF41-40E2-437E-A6F3-4E0FB63DFA8F}" name="Promoción" dataDxfId="5"/>
    <tableColumn id="26" xr3:uid="{1ABBE0D5-BBEF-45AD-917D-3AE600D349A9}" name="Código" dataDxfId="3">
      <calculatedColumnFormula>_xlfn.TEXTJOIN("",,C2,D2)</calculatedColumnFormula>
    </tableColumn>
    <tableColumn id="28" xr3:uid="{866B187C-66C6-4052-A856-F1446B334F08}" name="Planta2" dataDxfId="4"/>
    <tableColumn id="11" xr3:uid="{8766AD5D-DFAA-45CF-9433-5D5BD6DA6176}" name="Letra" dataDxfId="2" dataCellStyle="Millares"/>
    <tableColumn id="2" xr3:uid="{8E3E3734-1B6B-4C4F-9627-3F1068390078}" name="Nombre Cliente" dataDxfId="0"/>
    <tableColumn id="15" xr3:uid="{7BD5447D-498F-41EB-AC51-F44EDD388B8E}" name="NIF / Pasaporte" dataDxfId="1"/>
    <tableColumn id="3" xr3:uid="{D96BC0E6-E8EF-4AB7-9BD7-9B761A7EAC7E}" name="Precio" dataDxfId="27"/>
    <tableColumn id="16" xr3:uid="{4BE0BA72-24DD-434C-BC34-524A978EFFBF}" name="IVA" dataDxfId="26">
      <calculatedColumnFormula>+Tabla1[[#This Row],[Precio]]*10%</calculatedColumnFormula>
    </tableColumn>
    <tableColumn id="4" xr3:uid="{B73A0D92-B584-47F0-8DE0-85097C4C338E}" name="Precio + IVA" dataDxfId="25"/>
    <tableColumn id="6" xr3:uid="{744503FA-8397-4602-944A-0DA45CB9B56C}" name="Pago 1" dataDxfId="24"/>
    <tableColumn id="7" xr3:uid="{AF9C36AE-F6C4-4D53-AE94-7A7210204FF9}" name="% / Precio" dataDxfId="23" dataCellStyle="Porcentaje"/>
    <tableColumn id="8" xr3:uid="{DDFF134C-847F-4662-8A1E-0B8F73A723B5}" name="Comisión 1" dataDxfId="22" dataCellStyle="Millares">
      <calculatedColumnFormula>IF(K2&gt;=15%,G2*3%,0)</calculatedColumnFormula>
    </tableColumn>
    <tableColumn id="9" xr3:uid="{BA2ED317-B378-4C00-98A5-533677FF445E}" name="Facturable" dataDxfId="21"/>
    <tableColumn id="17" xr3:uid="{7F55268C-FC4B-4F25-8AD8-A2DAB72E401B}" name="Facturada" dataDxfId="20"/>
    <tableColumn id="10" xr3:uid="{C8617FA0-186C-4946-B00B-0C8129C7D7AE}" name="Pago 2" dataDxfId="19" dataCellStyle="Millares"/>
    <tableColumn id="12" xr3:uid="{459620E2-3712-44EA-B4BC-56511A974E6F}" name="% / Precio2" dataDxfId="18"/>
    <tableColumn id="13" xr3:uid="{A8C9B7CD-1E0A-4D10-8B4C-19F4A7CD9CE5}" name="Comisión 32" dataDxfId="17">
      <calculatedColumnFormula>IF(Tabla1[[#This Row],[% / Precio2]]&gt;=30%,(Tabla1[[#This Row],[Precio]]*6%)-Tabla1[[#This Row],[Comisión 1]],)</calculatedColumnFormula>
    </tableColumn>
    <tableColumn id="18" xr3:uid="{2382024E-61C7-4D30-8D4A-C9369A61AC20}" name="Facturable2" dataDxfId="16"/>
    <tableColumn id="14" xr3:uid="{0B439D4F-1EAF-4656-A3D3-C2B63FA4725B}" name="Facturada2" dataDxfId="15"/>
    <tableColumn id="19" xr3:uid="{B438CFB4-C592-4AFB-B1C2-DA6AC3CFBB44}" name="Agencia" dataDxfId="14"/>
    <tableColumn id="20" xr3:uid="{AB7997B5-4230-450C-9F1C-435834F9F6F9}" name="% Comisión Agencia" dataDxfId="13"/>
    <tableColumn id="21" xr3:uid="{B85FC58B-E5F6-45F9-A830-400A112CFCE9}" name="Comisión" dataDxfId="12"/>
    <tableColumn id="22" xr3:uid="{5A40FC39-40E6-4D33-A685-92CF720234E1}" name="Facturable3" dataDxfId="11"/>
    <tableColumn id="23" xr3:uid="{04335E58-A01F-42EB-AFD8-65C59D8625A0}" name="Facturada3" dataDxfId="10"/>
    <tableColumn id="24" xr3:uid="{4183D7E2-2A2C-49C1-9C76-CE384F3C1E93}" name="Comercial Eurohome" dataDxfId="9"/>
    <tableColumn id="25" xr3:uid="{0829E98D-B86B-4D5C-91E2-EBD53802B79E}" name="% Comisión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"/>
  <sheetViews>
    <sheetView tabSelected="1" zoomScaleNormal="100" workbookViewId="0"/>
  </sheetViews>
  <sheetFormatPr baseColWidth="10" defaultRowHeight="15" x14ac:dyDescent="0.25"/>
  <cols>
    <col min="1" max="3" width="9.7109375" style="6" customWidth="1"/>
    <col min="4" max="4" width="8.7109375" bestFit="1" customWidth="1"/>
    <col min="5" max="5" width="30.5703125" bestFit="1" customWidth="1"/>
    <col min="6" max="6" width="30.5703125" style="6" customWidth="1"/>
    <col min="7" max="7" width="16" customWidth="1"/>
    <col min="8" max="8" width="16" style="6" customWidth="1"/>
    <col min="9" max="9" width="16" customWidth="1"/>
    <col min="10" max="10" width="17.140625" customWidth="1"/>
    <col min="11" max="11" width="13.5703125" bestFit="1" customWidth="1"/>
    <col min="12" max="12" width="17.85546875" customWidth="1"/>
    <col min="13" max="13" width="15.28515625" customWidth="1"/>
    <col min="14" max="14" width="15.28515625" style="6" customWidth="1"/>
    <col min="15" max="15" width="18.7109375" customWidth="1"/>
    <col min="16" max="16" width="12.28515625" bestFit="1" customWidth="1"/>
    <col min="17" max="17" width="15.140625" customWidth="1"/>
    <col min="18" max="18" width="15.140625" style="6" customWidth="1"/>
  </cols>
  <sheetData>
    <row r="1" spans="1:40" x14ac:dyDescent="0.25">
      <c r="A1" s="7" t="s">
        <v>33</v>
      </c>
      <c r="B1" s="7" t="s">
        <v>39</v>
      </c>
      <c r="C1" s="7" t="s">
        <v>54</v>
      </c>
      <c r="D1" s="7" t="s">
        <v>18</v>
      </c>
      <c r="E1" s="7" t="s">
        <v>28</v>
      </c>
      <c r="F1" s="7" t="s">
        <v>38</v>
      </c>
      <c r="G1" s="7" t="s">
        <v>27</v>
      </c>
      <c r="H1" s="7" t="s">
        <v>34</v>
      </c>
      <c r="I1" s="7" t="s">
        <v>26</v>
      </c>
      <c r="J1" s="7" t="s">
        <v>25</v>
      </c>
      <c r="K1" s="7" t="s">
        <v>41</v>
      </c>
      <c r="L1" s="7" t="s">
        <v>42</v>
      </c>
      <c r="M1" s="7" t="s">
        <v>36</v>
      </c>
      <c r="N1" s="7" t="s">
        <v>37</v>
      </c>
      <c r="O1" s="7" t="s">
        <v>35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5"/>
      <c r="AL1" s="5"/>
      <c r="AM1" s="5"/>
      <c r="AN1" s="5"/>
    </row>
    <row r="2" spans="1:40" x14ac:dyDescent="0.25">
      <c r="A2" s="9" t="s">
        <v>40</v>
      </c>
      <c r="B2" s="9" t="str">
        <f t="shared" ref="B2:B26" si="0">_xlfn.TEXTJOIN("",,C2,D2)</f>
        <v>1A</v>
      </c>
      <c r="C2" s="9">
        <v>1</v>
      </c>
      <c r="D2" s="9" t="s">
        <v>16</v>
      </c>
      <c r="E2" s="13" t="s">
        <v>0</v>
      </c>
      <c r="F2" s="9"/>
      <c r="G2" s="9">
        <v>255000</v>
      </c>
      <c r="H2" s="9">
        <f>+Tabla1[[#This Row],[Precio]]*10%</f>
        <v>25500</v>
      </c>
      <c r="I2" s="9">
        <v>280500</v>
      </c>
      <c r="J2" s="9">
        <v>42075</v>
      </c>
      <c r="K2" s="9">
        <f>+J2/I2</f>
        <v>0.15</v>
      </c>
      <c r="L2" s="9">
        <f>IF(K2&gt;=15%,G2*3%,0)</f>
        <v>7650</v>
      </c>
      <c r="M2" s="9" t="s">
        <v>15</v>
      </c>
      <c r="N2" s="9" t="s">
        <v>15</v>
      </c>
      <c r="O2" s="9">
        <f>+Tabla1[[#This Row],[Precio + IVA]]*15%</f>
        <v>42075</v>
      </c>
      <c r="P2" s="9">
        <f>(Tabla1[[#This Row],[Pago 1]]+Tabla1[[#This Row],[Pago 2]])/Tabla1[[#This Row],[Precio + IVA]]</f>
        <v>0.3</v>
      </c>
      <c r="Q2" s="9">
        <f>IF(Tabla1[[#This Row],[% / Precio2]]&gt;=30%,(Tabla1[[#This Row],[Precio]]*6%)-Tabla1[[#This Row],[Comisión 1]],)</f>
        <v>7650</v>
      </c>
      <c r="R2" s="9" t="s">
        <v>15</v>
      </c>
      <c r="S2" s="9" t="s">
        <v>15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40" x14ac:dyDescent="0.25">
      <c r="A3" s="8" t="s">
        <v>40</v>
      </c>
      <c r="B3" s="8" t="str">
        <f t="shared" si="0"/>
        <v>1B</v>
      </c>
      <c r="C3" s="8">
        <v>1</v>
      </c>
      <c r="D3" s="8" t="s">
        <v>17</v>
      </c>
      <c r="E3" s="14" t="s">
        <v>1</v>
      </c>
      <c r="F3" s="8"/>
      <c r="G3" s="8">
        <v>275000</v>
      </c>
      <c r="H3" s="8">
        <f>+Tabla1[[#This Row],[Precio]]*10%</f>
        <v>27500</v>
      </c>
      <c r="I3" s="8">
        <v>302500</v>
      </c>
      <c r="J3" s="8">
        <v>45375</v>
      </c>
      <c r="K3" s="8">
        <f>+J3/I3</f>
        <v>0.15</v>
      </c>
      <c r="L3" s="8">
        <f>IF(K3&gt;=15%,G3*3%,0)</f>
        <v>8250</v>
      </c>
      <c r="M3" s="8" t="s">
        <v>15</v>
      </c>
      <c r="N3" s="8" t="s">
        <v>15</v>
      </c>
      <c r="O3" s="8">
        <f>5881.94*18</f>
        <v>105874.92</v>
      </c>
      <c r="P3" s="8">
        <f>(Tabla1[[#This Row],[Pago 1]]+Tabla1[[#This Row],[Pago 2]])/Tabla1[[#This Row],[Precio + IVA]]</f>
        <v>0.49999973553719002</v>
      </c>
      <c r="Q3" s="8">
        <f>IF(Tabla1[[#This Row],[% / Precio2]]&gt;=30%,(Tabla1[[#This Row],[Precio]]*6%)-Tabla1[[#This Row],[Comisión 1]],)</f>
        <v>8250</v>
      </c>
      <c r="R3" s="8" t="s">
        <v>15</v>
      </c>
      <c r="S3" s="8" t="s">
        <v>15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40" x14ac:dyDescent="0.25">
      <c r="A4" s="8" t="s">
        <v>40</v>
      </c>
      <c r="B4" s="8" t="str">
        <f t="shared" si="0"/>
        <v>2A</v>
      </c>
      <c r="C4" s="8">
        <v>2</v>
      </c>
      <c r="D4" s="8" t="s">
        <v>16</v>
      </c>
      <c r="E4" s="14" t="s">
        <v>2</v>
      </c>
      <c r="F4" s="8"/>
      <c r="G4" s="8">
        <v>260000</v>
      </c>
      <c r="H4" s="8">
        <f>+Tabla1[[#This Row],[Precio]]*10%</f>
        <v>26000</v>
      </c>
      <c r="I4" s="8">
        <v>286000</v>
      </c>
      <c r="J4" s="8">
        <v>28600</v>
      </c>
      <c r="K4" s="8">
        <f>+J4/I4</f>
        <v>0.1</v>
      </c>
      <c r="L4" s="8">
        <f>IF(OR(K4&gt;=15%,K4+P4&gt;15%),G4*3%,0)</f>
        <v>7800</v>
      </c>
      <c r="M4" s="8" t="s">
        <v>15</v>
      </c>
      <c r="N4" s="8" t="s">
        <v>15</v>
      </c>
      <c r="O4" s="8">
        <f>+Tabla1[[#This Row],[Precio + IVA]]*10%</f>
        <v>28600</v>
      </c>
      <c r="P4" s="8">
        <f>(Tabla1[[#This Row],[Pago 1]]+Tabla1[[#This Row],[Pago 2]])/Tabla1[[#This Row],[Precio + IVA]]</f>
        <v>0.2</v>
      </c>
      <c r="Q4" s="8">
        <f>IF(Tabla1[[#This Row],[% / Precio2]]&gt;=30%,(Tabla1[[#This Row],[Precio]]*6%)-Tabla1[[#This Row],[Comisión 1]],)</f>
        <v>0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40" x14ac:dyDescent="0.25">
      <c r="A5" s="8" t="s">
        <v>40</v>
      </c>
      <c r="B5" s="8" t="str">
        <f t="shared" si="0"/>
        <v>2B</v>
      </c>
      <c r="C5" s="8">
        <v>2</v>
      </c>
      <c r="D5" s="8" t="s">
        <v>17</v>
      </c>
      <c r="E5" s="14" t="s">
        <v>3</v>
      </c>
      <c r="F5" s="8"/>
      <c r="G5" s="8">
        <v>272000</v>
      </c>
      <c r="H5" s="8">
        <f>+Tabla1[[#This Row],[Precio]]*10%</f>
        <v>27200</v>
      </c>
      <c r="I5" s="8">
        <v>299200</v>
      </c>
      <c r="J5" s="8">
        <v>44880</v>
      </c>
      <c r="K5" s="8">
        <f>+J5/I5</f>
        <v>0.15</v>
      </c>
      <c r="L5" s="8">
        <f>IF(K5&gt;=15%,G5*3%,0)</f>
        <v>8160</v>
      </c>
      <c r="M5" s="8" t="s">
        <v>15</v>
      </c>
      <c r="N5" s="8" t="s">
        <v>15</v>
      </c>
      <c r="O5" s="8">
        <v>29920</v>
      </c>
      <c r="P5" s="8">
        <f>(Tabla1[[#This Row],[Pago 1]]+Tabla1[[#This Row],[Pago 2]])/Tabla1[[#This Row],[Precio + IVA]]</f>
        <v>0.25</v>
      </c>
      <c r="Q5" s="8">
        <f>IF(Tabla1[[#This Row],[% / Precio2]]&gt;=30%,(Tabla1[[#This Row],[Precio]]*6%)-Tabla1[[#This Row],[Comisión 1]],)</f>
        <v>0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40" x14ac:dyDescent="0.25">
      <c r="A6" s="8" t="s">
        <v>40</v>
      </c>
      <c r="B6" s="8" t="str">
        <f t="shared" si="0"/>
        <v>3A</v>
      </c>
      <c r="C6" s="8">
        <v>3</v>
      </c>
      <c r="D6" s="8" t="s">
        <v>16</v>
      </c>
      <c r="E6" s="14" t="s">
        <v>19</v>
      </c>
      <c r="F6" s="8"/>
      <c r="G6" s="8">
        <v>277950</v>
      </c>
      <c r="H6" s="8">
        <f>+Tabla1[[#This Row],[Precio]]*10%</f>
        <v>27795</v>
      </c>
      <c r="I6" s="8">
        <v>305745</v>
      </c>
      <c r="J6" s="8">
        <v>30574.5</v>
      </c>
      <c r="K6" s="8">
        <f>+J6/I6</f>
        <v>0.1</v>
      </c>
      <c r="L6" s="8">
        <f>IF(OR(K6&gt;=15%,K6+P6&gt;15%),G6*3%,0)</f>
        <v>8338.5</v>
      </c>
      <c r="M6" s="8" t="s">
        <v>15</v>
      </c>
      <c r="N6" s="8" t="s">
        <v>15</v>
      </c>
      <c r="O6" s="8">
        <f>3300*20</f>
        <v>66000</v>
      </c>
      <c r="P6" s="8">
        <f>(Tabla1[[#This Row],[Pago 1]]+Tabla1[[#This Row],[Pago 2]])/Tabla1[[#This Row],[Precio + IVA]]</f>
        <v>0.31586616297895304</v>
      </c>
      <c r="Q6" s="8">
        <f>IF(Tabla1[[#This Row],[% / Precio2]]&gt;=30%,(Tabla1[[#This Row],[Precio]]*6%)-Tabla1[[#This Row],[Comisión 1]],)</f>
        <v>8338.5</v>
      </c>
      <c r="R6" s="8" t="s">
        <v>15</v>
      </c>
      <c r="S6" s="8" t="s">
        <v>15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40" x14ac:dyDescent="0.25">
      <c r="A7" s="8" t="s">
        <v>40</v>
      </c>
      <c r="B7" s="8" t="str">
        <f t="shared" si="0"/>
        <v>3B</v>
      </c>
      <c r="C7" s="8">
        <v>3</v>
      </c>
      <c r="D7" s="8" t="s">
        <v>17</v>
      </c>
      <c r="E7" s="14" t="s">
        <v>20</v>
      </c>
      <c r="F7" s="8"/>
      <c r="G7" s="8">
        <v>298950</v>
      </c>
      <c r="H7" s="8">
        <f>+Tabla1[[#This Row],[Precio]]*10%</f>
        <v>29895</v>
      </c>
      <c r="I7" s="8">
        <v>328845</v>
      </c>
      <c r="J7" s="8">
        <v>49326.75</v>
      </c>
      <c r="K7" s="8">
        <f>+J7/I7</f>
        <v>0.15</v>
      </c>
      <c r="L7" s="8">
        <f>IF(OR(K7&gt;=15%,K7+P7&gt;15%),G7*3%,0)</f>
        <v>8968.5</v>
      </c>
      <c r="M7" s="8" t="s">
        <v>15</v>
      </c>
      <c r="N7" s="8" t="s">
        <v>15</v>
      </c>
      <c r="O7" s="8">
        <v>49326.75</v>
      </c>
      <c r="P7" s="8">
        <f>(Tabla1[[#This Row],[Pago 1]]+Tabla1[[#This Row],[Pago 2]])/Tabla1[[#This Row],[Precio + IVA]]</f>
        <v>0.3</v>
      </c>
      <c r="Q7" s="8">
        <f>IF(Tabla1[[#This Row],[% / Precio2]]&gt;=30%,(Tabla1[[#This Row],[Precio]]*6%)-Tabla1[[#This Row],[Comisión 1]],)</f>
        <v>8968.5</v>
      </c>
      <c r="R7" s="8" t="s">
        <v>15</v>
      </c>
      <c r="S7" s="8" t="s">
        <v>15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40" x14ac:dyDescent="0.25">
      <c r="A8" s="8" t="s">
        <v>40</v>
      </c>
      <c r="B8" s="8" t="str">
        <f t="shared" si="0"/>
        <v>4A</v>
      </c>
      <c r="C8" s="8">
        <v>4</v>
      </c>
      <c r="D8" s="8" t="s">
        <v>16</v>
      </c>
      <c r="E8" s="14" t="s">
        <v>4</v>
      </c>
      <c r="F8" s="8"/>
      <c r="G8" s="8">
        <v>273000</v>
      </c>
      <c r="H8" s="8">
        <f>+Tabla1[[#This Row],[Precio]]*10%</f>
        <v>27300</v>
      </c>
      <c r="I8" s="8">
        <v>300300</v>
      </c>
      <c r="J8" s="8">
        <v>30030</v>
      </c>
      <c r="K8" s="8">
        <f>+J8/I8</f>
        <v>0.1</v>
      </c>
      <c r="L8" s="8">
        <f>IF(OR(K8&gt;=15%,K8+P8&gt;15%),G8*3%,0)</f>
        <v>8190</v>
      </c>
      <c r="M8" s="8" t="s">
        <v>15</v>
      </c>
      <c r="N8" s="8" t="s">
        <v>15</v>
      </c>
      <c r="O8" s="8">
        <v>30030</v>
      </c>
      <c r="P8" s="8">
        <f>(Tabla1[[#This Row],[Pago 1]]+Tabla1[[#This Row],[Pago 2]])/Tabla1[[#This Row],[Precio + IVA]]</f>
        <v>0.2</v>
      </c>
      <c r="Q8" s="8">
        <f>IF(Tabla1[[#This Row],[% / Precio2]]&gt;=30%,(Tabla1[[#This Row],[Precio]]*6%)-Tabla1[[#This Row],[Comisión 1]],)</f>
        <v>0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40" x14ac:dyDescent="0.25">
      <c r="A9" s="8" t="s">
        <v>40</v>
      </c>
      <c r="B9" s="8" t="str">
        <f t="shared" si="0"/>
        <v>4B</v>
      </c>
      <c r="C9" s="8">
        <v>4</v>
      </c>
      <c r="D9" s="8" t="s">
        <v>17</v>
      </c>
      <c r="E9" s="14" t="s">
        <v>5</v>
      </c>
      <c r="F9" s="8"/>
      <c r="G9" s="8">
        <v>293000</v>
      </c>
      <c r="H9" s="8">
        <f>+Tabla1[[#This Row],[Precio]]*10%</f>
        <v>29300</v>
      </c>
      <c r="I9" s="8">
        <v>322300</v>
      </c>
      <c r="J9" s="8">
        <v>48345</v>
      </c>
      <c r="K9" s="8">
        <f>+J9/I9</f>
        <v>0.15</v>
      </c>
      <c r="L9" s="8">
        <f>IF(K9&gt;=15%,G9*3%,0)</f>
        <v>8790</v>
      </c>
      <c r="M9" s="8" t="s">
        <v>15</v>
      </c>
      <c r="N9" s="8" t="s">
        <v>15</v>
      </c>
      <c r="O9" s="8">
        <f>+Tabla1[[#This Row],[Precio + IVA]]*15%</f>
        <v>48345</v>
      </c>
      <c r="P9" s="8">
        <f>(Tabla1[[#This Row],[Pago 1]]+Tabla1[[#This Row],[Pago 2]])/Tabla1[[#This Row],[Precio + IVA]]</f>
        <v>0.3</v>
      </c>
      <c r="Q9" s="8">
        <f>IF(Tabla1[[#This Row],[% / Precio2]]&gt;=30%,(Tabla1[[#This Row],[Precio]]*6%)-Tabla1[[#This Row],[Comisión 1]],)</f>
        <v>8790</v>
      </c>
      <c r="R9" s="8" t="s">
        <v>15</v>
      </c>
      <c r="S9" s="8" t="s">
        <v>15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40" x14ac:dyDescent="0.25">
      <c r="A10" s="8" t="s">
        <v>40</v>
      </c>
      <c r="B10" s="8" t="str">
        <f t="shared" si="0"/>
        <v>5A</v>
      </c>
      <c r="C10" s="8">
        <v>5</v>
      </c>
      <c r="D10" s="8" t="s">
        <v>16</v>
      </c>
      <c r="E10" s="14" t="s">
        <v>6</v>
      </c>
      <c r="F10" s="8"/>
      <c r="G10" s="8">
        <v>281000</v>
      </c>
      <c r="H10" s="8">
        <f>+Tabla1[[#This Row],[Precio]]*10%</f>
        <v>28100</v>
      </c>
      <c r="I10" s="8">
        <v>309100</v>
      </c>
      <c r="J10" s="8">
        <v>46365</v>
      </c>
      <c r="K10" s="8">
        <f>+J10/I10</f>
        <v>0.15</v>
      </c>
      <c r="L10" s="8">
        <f>IF(K10&gt;=15%,G10*3%,0)</f>
        <v>8430</v>
      </c>
      <c r="M10" s="8" t="s">
        <v>15</v>
      </c>
      <c r="N10" s="8" t="s">
        <v>15</v>
      </c>
      <c r="O10" s="8">
        <f>+Tabla1[[#This Row],[Precio + IVA]]*15%</f>
        <v>46365</v>
      </c>
      <c r="P10" s="8">
        <f>(Tabla1[[#This Row],[Pago 1]]+Tabla1[[#This Row],[Pago 2]])/Tabla1[[#This Row],[Precio + IVA]]</f>
        <v>0.3</v>
      </c>
      <c r="Q10" s="8">
        <f>IF(Tabla1[[#This Row],[% / Precio2]]&gt;=30%,(Tabla1[[#This Row],[Precio]]*6%)-Tabla1[[#This Row],[Comisión 1]],)</f>
        <v>8430</v>
      </c>
      <c r="R10" s="8" t="s">
        <v>15</v>
      </c>
      <c r="S10" s="8" t="s">
        <v>15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40" x14ac:dyDescent="0.25">
      <c r="A11" s="8" t="s">
        <v>40</v>
      </c>
      <c r="B11" s="8" t="str">
        <f t="shared" si="0"/>
        <v>5B</v>
      </c>
      <c r="C11" s="8">
        <v>5</v>
      </c>
      <c r="D11" s="8" t="s">
        <v>17</v>
      </c>
      <c r="E11" s="14" t="s">
        <v>21</v>
      </c>
      <c r="F11" s="8"/>
      <c r="G11" s="8">
        <v>306300</v>
      </c>
      <c r="H11" s="8">
        <f>+Tabla1[[#This Row],[Precio]]*10%</f>
        <v>30630</v>
      </c>
      <c r="I11" s="8">
        <v>336930</v>
      </c>
      <c r="J11" s="8">
        <v>50539.5</v>
      </c>
      <c r="K11" s="8">
        <f>+J11/I11</f>
        <v>0.15</v>
      </c>
      <c r="L11" s="8">
        <f>IF(OR(K11&gt;=15%,K11+P11&gt;15%),G11*3%,0)</f>
        <v>9189</v>
      </c>
      <c r="M11" s="8" t="s">
        <v>15</v>
      </c>
      <c r="N11" s="8" t="s">
        <v>15</v>
      </c>
      <c r="O11" s="8">
        <v>50539.5</v>
      </c>
      <c r="P11" s="8">
        <f>(Tabla1[[#This Row],[Pago 1]]+Tabla1[[#This Row],[Pago 2]])/Tabla1[[#This Row],[Precio + IVA]]</f>
        <v>0.3</v>
      </c>
      <c r="Q11" s="8">
        <f>IF(Tabla1[[#This Row],[% / Precio2]]&gt;=30%,(Tabla1[[#This Row],[Precio]]*6%)-Tabla1[[#This Row],[Comisión 1]],)</f>
        <v>9189</v>
      </c>
      <c r="R11" s="8" t="s">
        <v>15</v>
      </c>
      <c r="S11" s="8" t="s">
        <v>15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spans="1:40" x14ac:dyDescent="0.25">
      <c r="A12" s="8" t="s">
        <v>40</v>
      </c>
      <c r="B12" s="8" t="str">
        <f t="shared" si="0"/>
        <v>6A</v>
      </c>
      <c r="C12" s="8">
        <v>6</v>
      </c>
      <c r="D12" s="8" t="s">
        <v>16</v>
      </c>
      <c r="E12" s="14" t="s">
        <v>7</v>
      </c>
      <c r="F12" s="8"/>
      <c r="G12" s="8">
        <v>282000</v>
      </c>
      <c r="H12" s="8">
        <f>+Tabla1[[#This Row],[Precio]]*10%</f>
        <v>28200</v>
      </c>
      <c r="I12" s="8">
        <v>310200</v>
      </c>
      <c r="J12" s="8">
        <v>46530</v>
      </c>
      <c r="K12" s="8">
        <f>+J12/I12</f>
        <v>0.15</v>
      </c>
      <c r="L12" s="8">
        <f>IF(OR(K12&gt;=15%,K12+P12&gt;15%),G12*3%,0)</f>
        <v>8460</v>
      </c>
      <c r="M12" s="8" t="s">
        <v>15</v>
      </c>
      <c r="N12" s="8" t="s">
        <v>15</v>
      </c>
      <c r="O12" s="8">
        <v>46530</v>
      </c>
      <c r="P12" s="8">
        <f>(Tabla1[[#This Row],[Pago 1]]+Tabla1[[#This Row],[Pago 2]])/Tabla1[[#This Row],[Precio + IVA]]</f>
        <v>0.3</v>
      </c>
      <c r="Q12" s="8">
        <f>IF(Tabla1[[#This Row],[% / Precio2]]&gt;=30%,(Tabla1[[#This Row],[Precio]]*6%)-Tabla1[[#This Row],[Comisión 1]],)</f>
        <v>8460</v>
      </c>
      <c r="R12" s="8" t="s">
        <v>15</v>
      </c>
      <c r="S12" s="8" t="s">
        <v>15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40" x14ac:dyDescent="0.25">
      <c r="A13" s="8" t="s">
        <v>40</v>
      </c>
      <c r="B13" s="8" t="str">
        <f t="shared" si="0"/>
        <v>6B</v>
      </c>
      <c r="C13" s="8">
        <v>6</v>
      </c>
      <c r="D13" s="8" t="s">
        <v>17</v>
      </c>
      <c r="E13" s="14" t="s">
        <v>8</v>
      </c>
      <c r="F13" s="8"/>
      <c r="G13" s="8">
        <v>302000</v>
      </c>
      <c r="H13" s="8">
        <f>+Tabla1[[#This Row],[Precio]]*10%</f>
        <v>30200</v>
      </c>
      <c r="I13" s="8">
        <v>332200</v>
      </c>
      <c r="J13" s="8">
        <v>49830</v>
      </c>
      <c r="K13" s="8">
        <f>+J13/I13</f>
        <v>0.15</v>
      </c>
      <c r="L13" s="8">
        <f>IF(OR(K13&gt;=15%,K13+P13&gt;15%),G13*3%,0)</f>
        <v>9060</v>
      </c>
      <c r="M13" s="8" t="s">
        <v>15</v>
      </c>
      <c r="N13" s="8" t="s">
        <v>15</v>
      </c>
      <c r="O13" s="8">
        <v>49830</v>
      </c>
      <c r="P13" s="8">
        <f>(Tabla1[[#This Row],[Pago 1]]+Tabla1[[#This Row],[Pago 2]])/Tabla1[[#This Row],[Precio + IVA]]</f>
        <v>0.3</v>
      </c>
      <c r="Q13" s="8">
        <f>IF(Tabla1[[#This Row],[% / Precio2]]&gt;=30%,(Tabla1[[#This Row],[Precio]]*6%)-Tabla1[[#This Row],[Comisión 1]],)</f>
        <v>9060</v>
      </c>
      <c r="R13" s="8" t="s">
        <v>15</v>
      </c>
      <c r="S13" s="8" t="s">
        <v>15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1:40" x14ac:dyDescent="0.25">
      <c r="A14" s="8" t="s">
        <v>40</v>
      </c>
      <c r="B14" s="8" t="str">
        <f t="shared" si="0"/>
        <v>7A</v>
      </c>
      <c r="C14" s="8">
        <v>7</v>
      </c>
      <c r="D14" s="8" t="s">
        <v>16</v>
      </c>
      <c r="E14" s="14" t="s">
        <v>30</v>
      </c>
      <c r="F14" s="8"/>
      <c r="G14" s="8">
        <v>338900</v>
      </c>
      <c r="H14" s="8">
        <f>+Tabla1[[#This Row],[Precio]]*10%</f>
        <v>33890</v>
      </c>
      <c r="I14" s="8">
        <v>372790</v>
      </c>
      <c r="J14" s="8">
        <v>55918.5</v>
      </c>
      <c r="K14" s="8">
        <f>+J14/I14</f>
        <v>0.15</v>
      </c>
      <c r="L14" s="8">
        <f>IF(K14&gt;=15%,G14*3%,0)</f>
        <v>10167</v>
      </c>
      <c r="M14" s="8" t="s">
        <v>15</v>
      </c>
      <c r="N14" s="8" t="s">
        <v>15</v>
      </c>
      <c r="O14" s="8"/>
      <c r="P14" s="8"/>
      <c r="Q14" s="8">
        <f>IF(Tabla1[[#This Row],[% / Precio2]]&gt;=30%,(Tabla1[[#This Row],[Precio]]*6%)-Tabla1[[#This Row],[Comisión 1]],)</f>
        <v>0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1:40" x14ac:dyDescent="0.25">
      <c r="A15" s="8" t="s">
        <v>40</v>
      </c>
      <c r="B15" s="8" t="str">
        <f t="shared" si="0"/>
        <v>7B</v>
      </c>
      <c r="C15" s="8">
        <v>7</v>
      </c>
      <c r="D15" s="8" t="s">
        <v>17</v>
      </c>
      <c r="E15" s="14" t="s">
        <v>31</v>
      </c>
      <c r="F15" s="8"/>
      <c r="G15" s="8">
        <v>346500</v>
      </c>
      <c r="H15" s="8">
        <f>+Tabla1[[#This Row],[Precio]]*10%</f>
        <v>34650</v>
      </c>
      <c r="I15" s="8">
        <v>381150</v>
      </c>
      <c r="J15" s="8">
        <v>57172.5</v>
      </c>
      <c r="K15" s="8">
        <f>+J15/I15</f>
        <v>0.15</v>
      </c>
      <c r="L15" s="8">
        <f>IF(K15&gt;=15%,G15*3%,0)</f>
        <v>10395</v>
      </c>
      <c r="M15" s="8" t="s">
        <v>15</v>
      </c>
      <c r="N15" s="8" t="s">
        <v>15</v>
      </c>
      <c r="O15" s="8"/>
      <c r="P15" s="8"/>
      <c r="Q15" s="8">
        <f>IF(Tabla1[[#This Row],[% / Precio2]]&gt;=30%,(Tabla1[[#This Row],[Precio]]*6%)-Tabla1[[#This Row],[Comisión 1]],)</f>
        <v>0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40" x14ac:dyDescent="0.25">
      <c r="A16" s="8" t="s">
        <v>40</v>
      </c>
      <c r="B16" s="8" t="str">
        <f t="shared" si="0"/>
        <v>8A</v>
      </c>
      <c r="C16" s="8">
        <v>8</v>
      </c>
      <c r="D16" s="8" t="s">
        <v>16</v>
      </c>
      <c r="E16" s="14" t="s">
        <v>32</v>
      </c>
      <c r="F16" s="8"/>
      <c r="G16" s="8">
        <v>345200</v>
      </c>
      <c r="H16" s="8">
        <f>+Tabla1[[#This Row],[Precio]]*10%</f>
        <v>34520</v>
      </c>
      <c r="I16" s="8">
        <v>379720</v>
      </c>
      <c r="J16" s="8">
        <v>56958</v>
      </c>
      <c r="K16" s="8">
        <f>+J16/I16</f>
        <v>0.15</v>
      </c>
      <c r="L16" s="8">
        <f>IF(K16&gt;=15%,G16*3%,0)</f>
        <v>10356</v>
      </c>
      <c r="M16" s="8" t="s">
        <v>15</v>
      </c>
      <c r="N16" s="8" t="s">
        <v>15</v>
      </c>
      <c r="O16" s="8"/>
      <c r="P16" s="8"/>
      <c r="Q16" s="8">
        <f>IF(Tabla1[[#This Row],[% / Precio2]]&gt;=30%,(Tabla1[[#This Row],[Precio]]*6%)-Tabla1[[#This Row],[Comisión 1]],)</f>
        <v>0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 spans="1:36" x14ac:dyDescent="0.25">
      <c r="A17" s="11" t="s">
        <v>40</v>
      </c>
      <c r="B17" s="11" t="str">
        <f t="shared" si="0"/>
        <v>8B</v>
      </c>
      <c r="C17" s="11">
        <v>8</v>
      </c>
      <c r="D17" s="11" t="s">
        <v>17</v>
      </c>
      <c r="E17" s="15" t="s">
        <v>9</v>
      </c>
      <c r="F17" s="11"/>
      <c r="G17" s="11">
        <v>331000</v>
      </c>
      <c r="H17" s="11">
        <f>+Tabla1[[#This Row],[Precio]]*10%</f>
        <v>33100</v>
      </c>
      <c r="I17" s="11">
        <v>364100</v>
      </c>
      <c r="J17" s="11">
        <v>54615</v>
      </c>
      <c r="K17" s="11">
        <f>+J17/I17</f>
        <v>0.15</v>
      </c>
      <c r="L17" s="11">
        <f>IF(K17&gt;=15%,G17*3%,0)</f>
        <v>9930</v>
      </c>
      <c r="M17" s="11" t="s">
        <v>15</v>
      </c>
      <c r="N17" s="11" t="s">
        <v>15</v>
      </c>
      <c r="O17" s="11">
        <v>54615</v>
      </c>
      <c r="P17" s="11">
        <f>(Tabla1[[#This Row],[Pago 1]]+Tabla1[[#This Row],[Pago 2]])/Tabla1[[#This Row],[Precio + IVA]]</f>
        <v>0.3</v>
      </c>
      <c r="Q17" s="11">
        <f>IF(Tabla1[[#This Row],[% / Precio2]]&gt;=30%,(Tabla1[[#This Row],[Precio]]*6%)-Tabla1[[#This Row],[Comisión 1]],)</f>
        <v>9930</v>
      </c>
      <c r="R17" s="11" t="s">
        <v>15</v>
      </c>
      <c r="S17" s="11" t="s">
        <v>15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x14ac:dyDescent="0.25">
      <c r="A18" s="8" t="s">
        <v>40</v>
      </c>
      <c r="B18" s="8" t="str">
        <f t="shared" si="0"/>
        <v>9A</v>
      </c>
      <c r="C18" s="8">
        <v>9</v>
      </c>
      <c r="D18" s="8" t="s">
        <v>16</v>
      </c>
      <c r="E18" s="14" t="s">
        <v>10</v>
      </c>
      <c r="F18" s="8"/>
      <c r="G18" s="8">
        <v>310000</v>
      </c>
      <c r="H18" s="8">
        <f>+Tabla1[[#This Row],[Precio]]*10%</f>
        <v>31000</v>
      </c>
      <c r="I18" s="8">
        <v>341000</v>
      </c>
      <c r="J18" s="8">
        <v>51150</v>
      </c>
      <c r="K18" s="8">
        <f>+J18/I18</f>
        <v>0.15</v>
      </c>
      <c r="L18" s="8">
        <f>IF(K18&gt;=15%,G18*3%,0)</f>
        <v>9300</v>
      </c>
      <c r="M18" s="8" t="s">
        <v>15</v>
      </c>
      <c r="N18" s="8" t="s">
        <v>15</v>
      </c>
      <c r="O18" s="8">
        <v>51150</v>
      </c>
      <c r="P18" s="8">
        <f>(Tabla1[[#This Row],[Pago 1]]+Tabla1[[#This Row],[Pago 2]])/Tabla1[[#This Row],[Precio + IVA]]</f>
        <v>0.3</v>
      </c>
      <c r="Q18" s="8">
        <f>IF(Tabla1[[#This Row],[% / Precio2]]&gt;=30%,(Tabla1[[#This Row],[Precio]]*6%)-Tabla1[[#This Row],[Comisión 1]],)</f>
        <v>9300</v>
      </c>
      <c r="R18" s="8" t="s">
        <v>15</v>
      </c>
      <c r="S18" s="8" t="s">
        <v>15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 spans="1:36" x14ac:dyDescent="0.25">
      <c r="A19" s="8" t="s">
        <v>40</v>
      </c>
      <c r="B19" s="8" t="str">
        <f t="shared" si="0"/>
        <v>10A</v>
      </c>
      <c r="C19" s="8">
        <v>10</v>
      </c>
      <c r="D19" s="8" t="s">
        <v>16</v>
      </c>
      <c r="E19" s="14" t="s">
        <v>55</v>
      </c>
      <c r="F19" s="8"/>
      <c r="G19" s="8">
        <v>345999</v>
      </c>
      <c r="H19" s="8">
        <f>+Tabla1[[#This Row],[Precio]]*10%</f>
        <v>34599.9</v>
      </c>
      <c r="I19" s="8">
        <v>380599</v>
      </c>
      <c r="J19" s="8"/>
      <c r="K19" s="8"/>
      <c r="L19" s="8">
        <f>IF(OR(K19&gt;=15%,K19+P19&gt;15%),G19*3%,0)</f>
        <v>0</v>
      </c>
      <c r="M19" s="8" t="s">
        <v>23</v>
      </c>
      <c r="N19" s="8" t="s">
        <v>23</v>
      </c>
      <c r="O19" s="8"/>
      <c r="P19" s="8"/>
      <c r="Q19" s="8">
        <f>IF(Tabla1[[#This Row],[% / Precio2]]&gt;=30%,(Tabla1[[#This Row],[Precio]]*6%)-Tabla1[[#This Row],[Comisión 1]],)</f>
        <v>0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 spans="1:36" x14ac:dyDescent="0.25">
      <c r="A20" s="8" t="s">
        <v>40</v>
      </c>
      <c r="B20" s="8" t="str">
        <f t="shared" si="0"/>
        <v>10B</v>
      </c>
      <c r="C20" s="8">
        <v>10</v>
      </c>
      <c r="D20" s="8" t="s">
        <v>17</v>
      </c>
      <c r="E20" s="14" t="s">
        <v>11</v>
      </c>
      <c r="F20" s="8"/>
      <c r="G20" s="8">
        <v>346000</v>
      </c>
      <c r="H20" s="8">
        <f>+Tabla1[[#This Row],[Precio]]*10%</f>
        <v>34600</v>
      </c>
      <c r="I20" s="8">
        <v>380600</v>
      </c>
      <c r="J20" s="8">
        <v>57090</v>
      </c>
      <c r="K20" s="8">
        <f>+J20/I20</f>
        <v>0.15</v>
      </c>
      <c r="L20" s="8">
        <f>IF(OR(K20&gt;=15%,K20+P20&gt;15%),G20*3%,0)</f>
        <v>10380</v>
      </c>
      <c r="M20" s="8" t="s">
        <v>15</v>
      </c>
      <c r="N20" s="8" t="s">
        <v>15</v>
      </c>
      <c r="O20" s="8">
        <v>57090</v>
      </c>
      <c r="P20" s="8">
        <f>(Tabla1[[#This Row],[Pago 1]]+Tabla1[[#This Row],[Pago 2]])/Tabla1[[#This Row],[Precio + IVA]]</f>
        <v>0.3</v>
      </c>
      <c r="Q20" s="8">
        <f>IF(Tabla1[[#This Row],[% / Precio2]]&gt;=30%,(Tabla1[[#This Row],[Precio]]*6%)-Tabla1[[#This Row],[Comisión 1]],)</f>
        <v>10380</v>
      </c>
      <c r="R20" s="8" t="s">
        <v>15</v>
      </c>
      <c r="S20" s="8" t="s">
        <v>15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spans="1:36" x14ac:dyDescent="0.25">
      <c r="A21" s="11" t="s">
        <v>40</v>
      </c>
      <c r="B21" s="11" t="str">
        <f t="shared" si="0"/>
        <v>13A</v>
      </c>
      <c r="C21" s="11">
        <v>13</v>
      </c>
      <c r="D21" s="11" t="s">
        <v>16</v>
      </c>
      <c r="E21" s="15" t="s">
        <v>13</v>
      </c>
      <c r="F21" s="11"/>
      <c r="G21" s="11">
        <v>348000</v>
      </c>
      <c r="H21" s="11">
        <f>+Tabla1[[#This Row],[Precio]]*10%</f>
        <v>34800</v>
      </c>
      <c r="I21" s="11">
        <v>382800</v>
      </c>
      <c r="J21" s="11">
        <v>57420</v>
      </c>
      <c r="K21" s="11">
        <f>+J21/I21</f>
        <v>0.15</v>
      </c>
      <c r="L21" s="11">
        <f>IF(K21&gt;=15%,G21*3%,0)</f>
        <v>10440</v>
      </c>
      <c r="M21" s="11" t="s">
        <v>15</v>
      </c>
      <c r="N21" s="11" t="s">
        <v>15</v>
      </c>
      <c r="O21" s="11">
        <v>57420</v>
      </c>
      <c r="P21" s="11">
        <f>(Tabla1[[#This Row],[Pago 1]]+Tabla1[[#This Row],[Pago 2]])/Tabla1[[#This Row],[Precio + IVA]]</f>
        <v>0.3</v>
      </c>
      <c r="Q21" s="11">
        <f>IF(Tabla1[[#This Row],[% / Precio2]]&gt;=30%,(Tabla1[[#This Row],[Precio]]*6%)-Tabla1[[#This Row],[Comisión 1]],)</f>
        <v>10440</v>
      </c>
      <c r="R21" s="11" t="s">
        <v>15</v>
      </c>
      <c r="S21" s="11" t="s">
        <v>15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x14ac:dyDescent="0.25">
      <c r="A22" s="11" t="s">
        <v>40</v>
      </c>
      <c r="B22" s="11" t="str">
        <f t="shared" si="0"/>
        <v>14A</v>
      </c>
      <c r="C22" s="11">
        <v>14</v>
      </c>
      <c r="D22" s="11" t="s">
        <v>16</v>
      </c>
      <c r="E22" s="15" t="s">
        <v>22</v>
      </c>
      <c r="F22" s="11"/>
      <c r="G22" s="11">
        <v>374000</v>
      </c>
      <c r="H22" s="11">
        <f>+Tabla1[[#This Row],[Precio]]*10%</f>
        <v>37400</v>
      </c>
      <c r="I22" s="11">
        <v>412005</v>
      </c>
      <c r="J22" s="11">
        <f>+Tabla1[[#This Row],[Precio + IVA]]*15%</f>
        <v>61800.75</v>
      </c>
      <c r="K22" s="11">
        <f>+J22/I22</f>
        <v>0.15</v>
      </c>
      <c r="L22" s="11">
        <f>IF(OR(K22&gt;=15%,K22+P22&gt;15%),G22*3%,0)</f>
        <v>11220</v>
      </c>
      <c r="M22" s="11" t="s">
        <v>15</v>
      </c>
      <c r="N22" s="11" t="s">
        <v>15</v>
      </c>
      <c r="O22" s="11">
        <v>41200.5</v>
      </c>
      <c r="P22" s="11">
        <f>(Tabla1[[#This Row],[Pago 1]]+Tabla1[[#This Row],[Pago 2]])/Tabla1[[#This Row],[Precio + IVA]]</f>
        <v>0.25</v>
      </c>
      <c r="Q22" s="11">
        <f>IF(Tabla1[[#This Row],[% / Precio2]]&gt;=30%,(Tabla1[[#This Row],[Precio]]*6%)-Tabla1[[#This Row],[Comisión 1]],)</f>
        <v>0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x14ac:dyDescent="0.25">
      <c r="A23" s="8" t="s">
        <v>40</v>
      </c>
      <c r="B23" s="8" t="str">
        <f t="shared" si="0"/>
        <v>15A</v>
      </c>
      <c r="C23" s="8">
        <v>15</v>
      </c>
      <c r="D23" s="8" t="s">
        <v>16</v>
      </c>
      <c r="E23" s="14" t="s">
        <v>29</v>
      </c>
      <c r="F23" s="8"/>
      <c r="G23" s="8">
        <v>393450</v>
      </c>
      <c r="H23" s="8">
        <f>+Tabla1[[#This Row],[Precio]]*10%</f>
        <v>39345</v>
      </c>
      <c r="I23" s="8">
        <v>432795</v>
      </c>
      <c r="J23" s="8">
        <v>64919.25</v>
      </c>
      <c r="K23" s="8">
        <f>+J23/I23</f>
        <v>0.15</v>
      </c>
      <c r="L23" s="8">
        <f>IF(K23&gt;=15%,G23*3%,0)</f>
        <v>11803.5</v>
      </c>
      <c r="M23" s="8" t="s">
        <v>15</v>
      </c>
      <c r="N23" s="8" t="s">
        <v>15</v>
      </c>
      <c r="O23" s="8"/>
      <c r="P23" s="8"/>
      <c r="Q23" s="8">
        <f>IF(Tabla1[[#This Row],[% / Precio2]]&gt;=30%,(Tabla1[[#This Row],[Precio]]*6%)-Tabla1[[#This Row],[Comisión 1]],)</f>
        <v>0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</row>
    <row r="24" spans="1:36" x14ac:dyDescent="0.25">
      <c r="A24" s="11" t="s">
        <v>40</v>
      </c>
      <c r="B24" s="11" t="str">
        <f t="shared" si="0"/>
        <v>15B</v>
      </c>
      <c r="C24" s="11">
        <v>15</v>
      </c>
      <c r="D24" s="11" t="s">
        <v>17</v>
      </c>
      <c r="E24" s="15" t="s">
        <v>24</v>
      </c>
      <c r="F24" s="11"/>
      <c r="G24" s="11">
        <v>406050</v>
      </c>
      <c r="H24" s="11">
        <f>+Tabla1[[#This Row],[Precio]]*10%</f>
        <v>40605</v>
      </c>
      <c r="I24" s="11">
        <v>446655</v>
      </c>
      <c r="J24" s="11">
        <v>66998.25</v>
      </c>
      <c r="K24" s="11">
        <f>+J24/I24</f>
        <v>0.15</v>
      </c>
      <c r="L24" s="11">
        <f>IF(K24&gt;=15%,G24*3%,0)</f>
        <v>12181.5</v>
      </c>
      <c r="M24" s="11" t="s">
        <v>15</v>
      </c>
      <c r="N24" s="11" t="s">
        <v>15</v>
      </c>
      <c r="O24" s="11">
        <v>66998.25</v>
      </c>
      <c r="P24" s="11">
        <f>(Tabla1[[#This Row],[Pago 1]]+Tabla1[[#This Row],[Pago 2]])/Tabla1[[#This Row],[Precio + IVA]]</f>
        <v>0.3</v>
      </c>
      <c r="Q24" s="11">
        <f>IF(Tabla1[[#This Row],[% / Precio2]]&gt;=30%,(Tabla1[[#This Row],[Precio]]*6%)-Tabla1[[#This Row],[Comisión 1]],)</f>
        <v>12181.5</v>
      </c>
      <c r="R24" s="11" t="s">
        <v>15</v>
      </c>
      <c r="S24" s="11" t="s">
        <v>15</v>
      </c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x14ac:dyDescent="0.25">
      <c r="A25" s="11" t="s">
        <v>40</v>
      </c>
      <c r="B25" s="11" t="str">
        <f t="shared" si="0"/>
        <v>16A</v>
      </c>
      <c r="C25" s="11">
        <v>16</v>
      </c>
      <c r="D25" s="11" t="s">
        <v>16</v>
      </c>
      <c r="E25" s="15" t="s">
        <v>14</v>
      </c>
      <c r="F25" s="11"/>
      <c r="G25" s="11">
        <v>386000</v>
      </c>
      <c r="H25" s="11">
        <f>+Tabla1[[#This Row],[Precio]]*10%</f>
        <v>38600</v>
      </c>
      <c r="I25" s="11">
        <v>424600</v>
      </c>
      <c r="J25" s="11">
        <v>63690</v>
      </c>
      <c r="K25" s="11">
        <f>+J25/I25</f>
        <v>0.15</v>
      </c>
      <c r="L25" s="11">
        <f>IF(K25&gt;=15%,G25*3%,0)</f>
        <v>11580</v>
      </c>
      <c r="M25" s="11" t="s">
        <v>15</v>
      </c>
      <c r="N25" s="11" t="s">
        <v>15</v>
      </c>
      <c r="O25" s="11">
        <v>63690</v>
      </c>
      <c r="P25" s="11">
        <f>(Tabla1[[#This Row],[Pago 1]]+Tabla1[[#This Row],[Pago 2]])/Tabla1[[#This Row],[Precio + IVA]]</f>
        <v>0.3</v>
      </c>
      <c r="Q25" s="11">
        <f>IF(Tabla1[[#This Row],[% / Precio2]]&gt;=30%,(Tabla1[[#This Row],[Precio]]*6%)-Tabla1[[#This Row],[Comisión 1]],)</f>
        <v>11580</v>
      </c>
      <c r="R25" s="11" t="s">
        <v>15</v>
      </c>
      <c r="S25" s="11" t="s">
        <v>15</v>
      </c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x14ac:dyDescent="0.25">
      <c r="A26" s="8" t="s">
        <v>40</v>
      </c>
      <c r="B26" s="8" t="str">
        <f t="shared" si="0"/>
        <v>22B</v>
      </c>
      <c r="C26" s="8">
        <v>22</v>
      </c>
      <c r="D26" s="8" t="s">
        <v>17</v>
      </c>
      <c r="E26" s="14" t="s">
        <v>12</v>
      </c>
      <c r="F26" s="8"/>
      <c r="G26" s="8">
        <v>497400</v>
      </c>
      <c r="H26" s="8">
        <f>+Tabla1[[#This Row],[Precio]]*10%</f>
        <v>49740</v>
      </c>
      <c r="I26" s="8">
        <v>547140</v>
      </c>
      <c r="J26" s="8">
        <v>54714</v>
      </c>
      <c r="K26" s="8">
        <f>+J26/I26</f>
        <v>0.1</v>
      </c>
      <c r="L26" s="8">
        <f>IF(OR(K26&gt;=15%,K26+P26&gt;15%),G26*3%,0)</f>
        <v>14922</v>
      </c>
      <c r="M26" s="8" t="s">
        <v>15</v>
      </c>
      <c r="N26" s="8" t="s">
        <v>15</v>
      </c>
      <c r="O26" s="8">
        <v>82071</v>
      </c>
      <c r="P26" s="8">
        <f>(Tabla1[[#This Row],[Pago 1]]+Tabla1[[#This Row],[Pago 2]])/Tabla1[[#This Row],[Precio + IVA]]</f>
        <v>0.25</v>
      </c>
      <c r="Q26" s="8">
        <f>IF(Tabla1[[#This Row],[% / Precio2]]&gt;=30%,(Tabla1[[#This Row],[Precio]]*6%)-Tabla1[[#This Row],[Comisión 1]],)</f>
        <v>0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</row>
    <row r="27" spans="1:36" ht="15.75" x14ac:dyDescent="0.25">
      <c r="A27" s="8"/>
      <c r="B27" s="8"/>
      <c r="C27" s="8"/>
      <c r="D27" s="1"/>
      <c r="E27" s="2"/>
      <c r="F27" s="10"/>
      <c r="G27" s="2"/>
      <c r="H27" s="10"/>
      <c r="I27" s="2"/>
      <c r="J27" s="2"/>
      <c r="O27" s="3"/>
      <c r="P27" s="3"/>
      <c r="Q27" s="4"/>
      <c r="R27" s="12"/>
      <c r="T27" s="6"/>
    </row>
  </sheetData>
  <phoneticPr fontId="8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Jose M Comin</cp:lastModifiedBy>
  <cp:lastPrinted>2026-01-30T17:49:44Z</cp:lastPrinted>
  <dcterms:created xsi:type="dcterms:W3CDTF">2025-02-05T16:15:21Z</dcterms:created>
  <dcterms:modified xsi:type="dcterms:W3CDTF">2026-01-30T19:11:50Z</dcterms:modified>
</cp:coreProperties>
</file>